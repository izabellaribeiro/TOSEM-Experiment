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ummary" sheetId="1" r:id="rId4"/>
    <sheet state="visible" name="Adjudication" sheetId="2" r:id="rId5"/>
    <sheet state="visible" name="Instructions" sheetId="3" r:id="rId6"/>
  </sheets>
  <definedNames/>
  <calcPr/>
  <extLst>
    <ext uri="GoogleSheetsCustomDataVersion2">
      <go:sheetsCustomData xmlns:go="http://customooxmlschemas.google.com/" r:id="rId7" roundtripDataChecksum="lZMq7RpiN62UJePkvFglOup2PYWgj4VHM16DDf6xlCU="/>
    </ext>
  </extLst>
</workbook>
</file>

<file path=xl/sharedStrings.xml><?xml version="1.0" encoding="utf-8"?>
<sst xmlns="http://schemas.openxmlformats.org/spreadsheetml/2006/main" count="211" uniqueCount="128">
  <si>
    <t>Adjudication Summary</t>
  </si>
  <si>
    <t>Case ID</t>
  </si>
  <si>
    <t>Project</t>
  </si>
  <si>
    <t>Story ID</t>
  </si>
  <si>
    <t>QUS Dimension</t>
  </si>
  <si>
    <t>QUS Criterion</t>
  </si>
  <si>
    <t>Metric</t>
  </si>
  <si>
    <t>User Story</t>
  </si>
  <si>
    <t>Ground Truth</t>
  </si>
  <si>
    <t>RC</t>
  </si>
  <si>
    <t>LLM Decision</t>
  </si>
  <si>
    <t>ES</t>
  </si>
  <si>
    <t>LLM Evidence</t>
  </si>
  <si>
    <t>Notes</t>
  </si>
  <si>
    <t>LLM Rationale</t>
  </si>
  <si>
    <t>Percent agreement before adjudication</t>
  </si>
  <si>
    <t>Related Story IDs</t>
  </si>
  <si>
    <t>Coder 1 RC</t>
  </si>
  <si>
    <t>Coder 2 RC</t>
  </si>
  <si>
    <t>Adjudication Instructions</t>
  </si>
  <si>
    <t>Final RC</t>
  </si>
  <si>
    <t>Coder 1 ES</t>
  </si>
  <si>
    <t>Computed from the latest adjusted Coder 1 and current Coder 2 files.</t>
  </si>
  <si>
    <t>Purpose</t>
  </si>
  <si>
    <t>Quadratic-weighted Cohen's kappa</t>
  </si>
  <si>
    <t>Coder 2 ES</t>
  </si>
  <si>
    <t>Final ES</t>
  </si>
  <si>
    <t>Coder 1 Comment</t>
  </si>
  <si>
    <t>Coder 2 Comment</t>
  </si>
  <si>
    <t>Adjudication Comment</t>
  </si>
  <si>
    <t>Resolve only the remaining disagreements between Coder 1 and Coder 2.</t>
  </si>
  <si>
    <t>Yellow cells</t>
  </si>
  <si>
    <t>Require an adjudicated choice. Select the final RC/ES label from the dropdown and explain the decision in Adjudication Notes.</t>
  </si>
  <si>
    <t>Ordinal agreement statistic.</t>
  </si>
  <si>
    <t>Green cells</t>
  </si>
  <si>
    <t>Disagreements</t>
  </si>
  <si>
    <t>Only these dimensions/cases require adjudication.</t>
  </si>
  <si>
    <t>The coders already agreed on that dimension; the shared label has been carried forward automatically.</t>
  </si>
  <si>
    <t>Adjudication Notes</t>
  </si>
  <si>
    <t>Cases requiring any adjudication</t>
  </si>
  <si>
    <t>Decision rule</t>
  </si>
  <si>
    <t>Q01, Q04, Q06, Q09, Q12, Q21, Q29, Q30</t>
  </si>
  <si>
    <t>Use the QUS criterion definition/rule and the LLM rationale/evidence shown in each row. Do not choose a label merely to favor one coder.</t>
  </si>
  <si>
    <t>After completion</t>
  </si>
  <si>
    <t>Q01</t>
  </si>
  <si>
    <t>The Final RC and Final ES columns become the consolidated qualitative labels used for the final distribution and RQ4 analysis.</t>
  </si>
  <si>
    <t>PlanningPoker</t>
  </si>
  <si>
    <t>PP-046</t>
  </si>
  <si>
    <t>Syntactic</t>
  </si>
  <si>
    <t>Minimal</t>
  </si>
  <si>
    <t>As a developer, I want to have the application function correctly in Internet Explorer 6 and 7, Firefox 1.5 and 2, and Safari 2, so that as many people as possible can fully use the application.</t>
  </si>
  <si>
    <t>Violation</t>
  </si>
  <si>
    <t>Internet Explorer 6 and 7, Firefox 1.5 and 2, and Safari 2</t>
  </si>
  <si>
    <t>Browser compatibility matrix is testing/implementation detail beyond the core story.</t>
  </si>
  <si>
    <t>[]</t>
  </si>
  <si>
    <t>RC0 — Incorrect</t>
  </si>
  <si>
    <t>RC2 — Correct</t>
  </si>
  <si>
    <t>ES2 — Fully supported</t>
  </si>
  <si>
    <t>LLM is forgetting that the type and version of the browser is the core part of the requirement</t>
  </si>
  <si>
    <t>The rationale correctly treats the browser/version matrix as extra compatibility/testing detail beyond the minimal story structure, and the cited text directly supports that reading.</t>
  </si>
  <si>
    <t>The coder 1 explains that the version is part of the feature, but it can be summarized as a "browser compatibility", and not specify which browser will be aimed at as explained by the coder 2</t>
  </si>
  <si>
    <t>Resolve RC disagreement.</t>
  </si>
  <si>
    <t>Q04</t>
  </si>
  <si>
    <t>PP-027</t>
  </si>
  <si>
    <t>Semantic</t>
  </si>
  <si>
    <t>Problem-oriented</t>
  </si>
  <si>
    <t>As a moderator, I want to select whether to have the team estimate with {0, 1/2, 1, 2, 3, 5, 8, etc.} or {0, 1, 2, 4, 8, 16, 32, etc.}, so that the team can use either the modified Fibonacci sequence or powers of 2.</t>
  </si>
  <si>
    <t>No Violation</t>
  </si>
  <si>
    <t>The story expresses a domain-level choice between estimation scales without prescribing technical implementation.</t>
  </si>
  <si>
    <t>RC1 — Partially correct</t>
  </si>
  <si>
    <t>ES0 — Not supported</t>
  </si>
  <si>
    <t>There is what the stakeholder want to use, the evidence is the phrase "... I want to select whether to..."</t>
  </si>
  <si>
    <t>The rationale uses the correct distinction between stakeholder need and solution prescription, but it dismisses the explicitly prescribed estimation scales too readily. No supporting evidence was cited.</t>
  </si>
  <si>
    <t>The prescribed estimation is missing as pointed by coder 2, it don`t dismiss the coder 1 truthfullness, but can be pointed as imcomplete</t>
  </si>
  <si>
    <t>Q06</t>
  </si>
  <si>
    <t>Zooniverse</t>
  </si>
  <si>
    <t>ZO-026</t>
  </si>
  <si>
    <t>Pragmatic</t>
  </si>
  <si>
    <t>Independent</t>
  </si>
  <si>
    <t>As an admin, I want to prefilter the content using search on high­level asset information such as metadata and tags either recognized by the system of provided by the user.</t>
  </si>
  <si>
    <t>The story can use system-recognized metadata or tags, so it does not inherently depend on another backlog story.</t>
  </si>
  <si>
    <t>ES1 — Partially supported</t>
  </si>
  <si>
    <t>There isn't another user story that works with this feature</t>
  </si>
  <si>
    <t>The rationale correctly focuses on whether an inherent requirement-level dependency exists. However, no explicit evidence or backlog comparison is cited to substantiate the absence of such a dependency.</t>
  </si>
  <si>
    <t>There is no evidence that can sustain the rationale of the LLM as pointed by the coder 1</t>
  </si>
  <si>
    <t>Resolve ES disagreement.</t>
  </si>
  <si>
    <t>Q09</t>
  </si>
  <si>
    <t>ZO-034</t>
  </si>
  <si>
    <t>As a Zooniverse admin, I want to perform automatic animal attribute preclassification in Snapshot Serengeti.</t>
  </si>
  <si>
    <t>perform automatic animal attribute preclassification</t>
  </si>
  <si>
    <t>Prescribes an automatic preclassification solution rather than only the attribute-classification need.</t>
  </si>
  <si>
    <t>The evidence is what the stakeholder need, not an answer</t>
  </si>
  <si>
    <t>The rationale correctly identifies automatic preclassification as a prescribed solution mechanism rather than only a stakeholder need, and the cited wording directly supports the judgment.</t>
  </si>
  <si>
    <t>The coder 2 explain correctly that the automatic preclassification can be pointed as a solution then a explanation for what the stakeholder needs.</t>
  </si>
  <si>
    <t>Resolve RC disagreement. Resolve ES disagreement.</t>
  </si>
  <si>
    <t>Q12</t>
  </si>
  <si>
    <t>ZO-017</t>
  </si>
  <si>
    <t>Estimatable</t>
  </si>
  <si>
    <t>As a user, I want to walk around, access content using a geographical map and be informed if there are videos covering the area, monuments or any other relevant point of interest.</t>
  </si>
  <si>
    <t>walk around, access content using a geographical map and be informed if there are videos covering the area</t>
  </si>
  <si>
    <t>Location-based map discovery is a standard mobile/web feature that is estimatable.</t>
  </si>
  <si>
    <t>Is more implied than explained about the location-based map discovery</t>
  </si>
  <si>
    <t>The rationale recognizes the location/map feature as implementable, but it underplays the breadth of the combined behaviors and context. The cited evidence is relevant but does not by itself establish estimatability.</t>
  </si>
  <si>
    <t>The coder 2 points what the coder 1 miss to choose, the part pointed can be cited but needs to be pointed that it is incomplete</t>
  </si>
  <si>
    <t>Q21</t>
  </si>
  <si>
    <t>ZO-028</t>
  </si>
  <si>
    <t>As a Zooniverse admin, I want to detect when a scientist should be prompted to look at a subject, based on annotations and information from Talk comments.</t>
  </si>
  <si>
    <t>based on annotations and information from Talk comments</t>
  </si>
  <si>
    <t>Requires detection based on specific information sources (annotations and Talk) which prescribes a solution rather than only stating the need to prompt scientists appropriately.</t>
  </si>
  <si>
    <t>Can be questioned if the evidence is not an explanation of how to do what the stakeholder is needing</t>
  </si>
  <si>
    <t>The rationale correctly identifies the explicit dependence on annotations and Talk comments as a prescribed information-source choice, and the cited text directly grounds that interpretation.</t>
  </si>
  <si>
    <t>As pointed by the coder 2 the evidence applies correctly the QUS criteria</t>
  </si>
  <si>
    <t>Q29</t>
  </si>
  <si>
    <t>BADCamp</t>
  </si>
  <si>
    <t>BC-037</t>
  </si>
  <si>
    <t>As a sponsor, I want to sponsor a summit that matches my brand, so that I can get exposure to potential customers and otherwise tout my Drupal credentials.</t>
  </si>
  <si>
    <t>sponsor a summit that matches my brand</t>
  </si>
  <si>
    <t>The scope is too broad and vague. 'Sponsor a summit' could involve a complex, multi-step workflow, and 'matches my brand' is subjective and underspecified, making it difficult to estimate.</t>
  </si>
  <si>
    <t>No problem</t>
  </si>
  <si>
    <t>The rationale correctly identifies broad scope and subjective wording in 'sponsor a summit that matches my brand', both of which hinder reliable estimation. The cited evidence directly supports the judgment.</t>
  </si>
  <si>
    <t>Coder 1 makes an generic explanation, but the coder 2 sucessfully explains why the rationale identifies the explicit dependence</t>
  </si>
  <si>
    <t>Q30</t>
  </si>
  <si>
    <t>ZO-053</t>
  </si>
  <si>
    <t>As a Zooniverse admin,I want to know which piece of education I should give to a volunteer.</t>
  </si>
  <si>
    <t>know which piece of education I should give to a volunteer</t>
  </si>
  <si>
    <t>Selecting which educational piece can be specified independently; no other backlog story explicitly creates the set of educational pieces as a prerequisite.</t>
  </si>
  <si>
    <t>The rationale correctly argues that selecting educational content does not inherently require another story, but the absence of a backlog dependency is asserted without explicit comparative evidence.</t>
  </si>
  <si>
    <t>As pointed by the coder 2 the evidence doesn't care to explain more than it own story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</si>
</sst>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%"/>
    <numFmt numFmtId="165" formatCode="0.000"/>
  </numFmts>
  <fonts count="5">
    <font>
      <sz val="11.0"/>
      <color rgb="FF000000"/>
      <name val="Carlito"/>
      <scheme val="minor"/>
    </font>
    <font>
      <b/>
      <sz val="11.0"/>
      <color rgb="FFFFFFFF"/>
      <name val="Carlito"/>
    </font>
    <font>
      <b/>
      <sz val="14.0"/>
      <color rgb="FFFFFFFF"/>
      <name val="Carlito"/>
    </font>
    <font>
      <sz val="11.0"/>
      <color theme="1"/>
      <name val="Carlito"/>
    </font>
    <font>
      <b/>
      <sz val="11.0"/>
      <color theme="1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5B9BD5"/>
        <bgColor rgb="FF5B9BD5"/>
      </patternFill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FFF2CC"/>
        <bgColor rgb="FFFFF2CC"/>
      </patternFill>
    </fill>
    <fill>
      <patternFill patternType="solid">
        <fgColor rgb="FFE2F0D9"/>
        <bgColor rgb="FFE2F0D9"/>
      </patternFill>
    </fill>
  </fills>
  <borders count="1">
    <border/>
  </borders>
  <cellStyleXfs count="1">
    <xf borderId="0" fillId="0" fontId="0" numFmtId="0" applyAlignment="1" applyFont="1"/>
  </cellStyleXfs>
  <cellXfs count="12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0" fillId="3" fontId="2" numFmtId="0" xfId="0" applyAlignment="1" applyFill="1" applyFont="1">
      <alignment horizontal="center" shrinkToFit="0" vertical="center" wrapText="1"/>
    </xf>
    <xf borderId="0" fillId="0" fontId="3" numFmtId="0" xfId="0" applyAlignment="1" applyFont="1">
      <alignment shrinkToFit="0" wrapText="1"/>
    </xf>
    <xf borderId="0" fillId="0" fontId="3" numFmtId="164" xfId="0" applyAlignment="1" applyFont="1" applyNumberFormat="1">
      <alignment shrinkToFit="0" wrapText="1"/>
    </xf>
    <xf borderId="0" fillId="4" fontId="4" numFmtId="0" xfId="0" applyAlignment="1" applyFill="1" applyFont="1">
      <alignment shrinkToFit="0" wrapText="1"/>
    </xf>
    <xf borderId="0" fillId="0" fontId="3" numFmtId="165" xfId="0" applyAlignment="1" applyFont="1" applyNumberFormat="1">
      <alignment shrinkToFit="0" wrapText="1"/>
    </xf>
    <xf borderId="0" fillId="2" fontId="1" numFmtId="0" xfId="0" applyAlignment="1" applyFill="1" applyFont="1">
      <alignment horizontal="center" readingOrder="0" shrinkToFit="0" vertical="center" wrapText="1"/>
    </xf>
    <xf borderId="0" fillId="5" fontId="3" numFmtId="0" xfId="0" applyAlignment="1" applyFill="1" applyFont="1">
      <alignment readingOrder="0" shrinkToFit="0" wrapText="1"/>
    </xf>
    <xf borderId="0" fillId="6" fontId="3" numFmtId="0" xfId="0" applyAlignment="1" applyFill="1" applyFont="1">
      <alignment shrinkToFit="0" wrapText="1"/>
    </xf>
    <xf borderId="0" fillId="0" fontId="3" numFmtId="0" xfId="0" applyAlignment="1" applyFont="1">
      <alignment readingOrder="0" shrinkToFit="0" wrapText="1"/>
    </xf>
    <xf borderId="0" fillId="5" fontId="3" numFmtId="0" xfId="0" applyAlignment="1" applyFill="1" applyFont="1">
      <alignment shrinkToFit="0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4.0"/>
    <col customWidth="1" min="2" max="3" width="20.0"/>
    <col customWidth="1" min="4" max="4" width="70.0"/>
    <col customWidth="1" min="5" max="26" width="8.63"/>
  </cols>
  <sheetData>
    <row r="1">
      <c r="A1" s="2" t="s">
        <v>0</v>
      </c>
    </row>
    <row r="2">
      <c r="A2" s="1" t="s">
        <v>6</v>
      </c>
      <c r="B2" s="1" t="s">
        <v>9</v>
      </c>
      <c r="C2" s="1" t="s">
        <v>11</v>
      </c>
      <c r="D2" s="1" t="s">
        <v>13</v>
      </c>
    </row>
    <row r="3">
      <c r="A3" s="3" t="s">
        <v>15</v>
      </c>
      <c r="B3" s="4">
        <v>0.8666666666666667</v>
      </c>
      <c r="C3" s="4">
        <v>0.8333333333333334</v>
      </c>
      <c r="D3" s="3" t="s">
        <v>22</v>
      </c>
    </row>
    <row r="4">
      <c r="A4" s="3" t="s">
        <v>24</v>
      </c>
      <c r="B4" s="6">
        <v>0.7222222222</v>
      </c>
      <c r="C4" s="6">
        <v>0.8267898383</v>
      </c>
      <c r="D4" s="3" t="s">
        <v>33</v>
      </c>
    </row>
    <row r="5">
      <c r="A5" s="3" t="s">
        <v>35</v>
      </c>
      <c r="B5" s="3">
        <v>4.0</v>
      </c>
      <c r="C5" s="3">
        <v>5.0</v>
      </c>
      <c r="D5" s="3" t="s">
        <v>36</v>
      </c>
    </row>
    <row r="6">
      <c r="A6" s="3" t="s">
        <v>39</v>
      </c>
      <c r="B6" s="3">
        <v>8.0</v>
      </c>
      <c r="C6" s="3"/>
      <c r="D6" s="3" t="s">
        <v>41</v>
      </c>
    </row>
    <row r="7">
      <c r="A7" s="3"/>
      <c r="B7" s="3"/>
      <c r="C7" s="3"/>
      <c r="D7" s="3"/>
    </row>
    <row r="8">
      <c r="A8" s="3"/>
      <c r="B8" s="3"/>
      <c r="C8" s="3"/>
      <c r="D8" s="3"/>
    </row>
    <row r="9">
      <c r="A9" s="3"/>
      <c r="B9" s="3"/>
      <c r="C9" s="3"/>
      <c r="D9" s="3"/>
    </row>
    <row r="10">
      <c r="A10" s="3"/>
      <c r="B10" s="3"/>
      <c r="C10" s="3"/>
      <c r="D10" s="3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D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.0"/>
    <col customWidth="1" min="2" max="2" width="15.0"/>
    <col customWidth="1" min="3" max="3" width="12.0"/>
    <col customWidth="1" min="4" max="4" width="16.0"/>
    <col customWidth="1" min="5" max="5" width="22.0"/>
    <col customWidth="1" min="6" max="6" width="62.0"/>
    <col customWidth="1" min="7" max="8" width="15.0"/>
    <col customWidth="1" min="9" max="9" width="42.0"/>
    <col customWidth="1" min="10" max="10" width="70.0"/>
    <col customWidth="1" min="11" max="11" width="22.0"/>
    <col customWidth="1" min="12" max="17" width="24.0"/>
    <col customWidth="1" min="18" max="18" width="65.0"/>
    <col customWidth="1" min="19" max="20" width="75.0"/>
    <col customWidth="1" min="21" max="21" width="55.0"/>
    <col customWidth="1" min="22" max="27" width="8.63"/>
  </cols>
  <sheetData>
    <row r="1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7</v>
      </c>
      <c r="G1" s="1" t="s">
        <v>8</v>
      </c>
      <c r="H1" s="1" t="s">
        <v>10</v>
      </c>
      <c r="I1" s="1" t="s">
        <v>12</v>
      </c>
      <c r="J1" s="1" t="s">
        <v>14</v>
      </c>
      <c r="K1" s="1" t="s">
        <v>16</v>
      </c>
      <c r="L1" s="1" t="s">
        <v>17</v>
      </c>
      <c r="M1" s="1" t="s">
        <v>18</v>
      </c>
      <c r="N1" s="1" t="s">
        <v>20</v>
      </c>
      <c r="O1" s="1" t="s">
        <v>21</v>
      </c>
      <c r="P1" s="1" t="s">
        <v>25</v>
      </c>
      <c r="Q1" s="1" t="s">
        <v>26</v>
      </c>
      <c r="R1" s="1" t="s">
        <v>27</v>
      </c>
      <c r="S1" s="1" t="s">
        <v>28</v>
      </c>
      <c r="T1" s="7" t="s">
        <v>29</v>
      </c>
      <c r="U1" s="1" t="s">
        <v>38</v>
      </c>
    </row>
    <row r="2">
      <c r="A2" s="3" t="s">
        <v>44</v>
      </c>
      <c r="B2" s="3" t="s">
        <v>46</v>
      </c>
      <c r="C2" s="3" t="s">
        <v>47</v>
      </c>
      <c r="D2" s="3" t="s">
        <v>48</v>
      </c>
      <c r="E2" s="3" t="s">
        <v>49</v>
      </c>
      <c r="F2" s="3" t="s">
        <v>50</v>
      </c>
      <c r="G2" s="3" t="s">
        <v>51</v>
      </c>
      <c r="H2" s="3" t="s">
        <v>51</v>
      </c>
      <c r="I2" s="3" t="s">
        <v>52</v>
      </c>
      <c r="J2" s="3" t="s">
        <v>53</v>
      </c>
      <c r="K2" s="3" t="s">
        <v>54</v>
      </c>
      <c r="L2" s="3" t="s">
        <v>55</v>
      </c>
      <c r="M2" s="3" t="s">
        <v>56</v>
      </c>
      <c r="N2" s="8" t="s">
        <v>56</v>
      </c>
      <c r="O2" s="3" t="s">
        <v>57</v>
      </c>
      <c r="P2" s="3" t="s">
        <v>57</v>
      </c>
      <c r="Q2" s="9" t="s">
        <v>57</v>
      </c>
      <c r="R2" s="3" t="s">
        <v>58</v>
      </c>
      <c r="S2" s="3" t="s">
        <v>59</v>
      </c>
      <c r="T2" s="10" t="s">
        <v>60</v>
      </c>
      <c r="U2" s="11" t="s">
        <v>61</v>
      </c>
    </row>
    <row r="3">
      <c r="A3" s="3" t="s">
        <v>62</v>
      </c>
      <c r="B3" s="3" t="s">
        <v>46</v>
      </c>
      <c r="C3" s="3" t="s">
        <v>63</v>
      </c>
      <c r="D3" s="3" t="s">
        <v>64</v>
      </c>
      <c r="E3" s="3" t="s">
        <v>65</v>
      </c>
      <c r="F3" s="3" t="s">
        <v>66</v>
      </c>
      <c r="G3" s="3" t="s">
        <v>51</v>
      </c>
      <c r="H3" s="3" t="s">
        <v>67</v>
      </c>
      <c r="I3" s="3"/>
      <c r="J3" s="3" t="s">
        <v>68</v>
      </c>
      <c r="K3" s="3" t="s">
        <v>54</v>
      </c>
      <c r="L3" s="3" t="s">
        <v>56</v>
      </c>
      <c r="M3" s="3" t="s">
        <v>69</v>
      </c>
      <c r="N3" s="8" t="s">
        <v>69</v>
      </c>
      <c r="O3" s="3" t="s">
        <v>70</v>
      </c>
      <c r="P3" s="3" t="s">
        <v>70</v>
      </c>
      <c r="Q3" s="9" t="s">
        <v>70</v>
      </c>
      <c r="R3" s="3" t="s">
        <v>71</v>
      </c>
      <c r="S3" s="3" t="s">
        <v>72</v>
      </c>
      <c r="T3" s="10" t="s">
        <v>73</v>
      </c>
      <c r="U3" s="11" t="s">
        <v>61</v>
      </c>
    </row>
    <row r="4">
      <c r="A4" s="3" t="s">
        <v>74</v>
      </c>
      <c r="B4" s="3" t="s">
        <v>75</v>
      </c>
      <c r="C4" s="3" t="s">
        <v>76</v>
      </c>
      <c r="D4" s="3" t="s">
        <v>77</v>
      </c>
      <c r="E4" s="3" t="s">
        <v>78</v>
      </c>
      <c r="F4" s="3" t="s">
        <v>79</v>
      </c>
      <c r="G4" s="3" t="s">
        <v>67</v>
      </c>
      <c r="H4" s="3" t="s">
        <v>67</v>
      </c>
      <c r="I4" s="3"/>
      <c r="J4" s="3" t="s">
        <v>80</v>
      </c>
      <c r="K4" s="3" t="s">
        <v>54</v>
      </c>
      <c r="L4" s="3" t="s">
        <v>56</v>
      </c>
      <c r="M4" s="3" t="s">
        <v>56</v>
      </c>
      <c r="N4" s="9" t="s">
        <v>56</v>
      </c>
      <c r="O4" s="3" t="s">
        <v>70</v>
      </c>
      <c r="P4" s="3" t="s">
        <v>81</v>
      </c>
      <c r="Q4" s="8" t="s">
        <v>70</v>
      </c>
      <c r="R4" s="3" t="s">
        <v>82</v>
      </c>
      <c r="S4" s="3" t="s">
        <v>83</v>
      </c>
      <c r="T4" s="10" t="s">
        <v>84</v>
      </c>
      <c r="U4" s="11" t="s">
        <v>85</v>
      </c>
    </row>
    <row r="5">
      <c r="A5" s="3" t="s">
        <v>86</v>
      </c>
      <c r="B5" s="3" t="s">
        <v>75</v>
      </c>
      <c r="C5" s="3" t="s">
        <v>87</v>
      </c>
      <c r="D5" s="3" t="s">
        <v>64</v>
      </c>
      <c r="E5" s="3" t="s">
        <v>65</v>
      </c>
      <c r="F5" s="3" t="s">
        <v>88</v>
      </c>
      <c r="G5" s="3" t="s">
        <v>51</v>
      </c>
      <c r="H5" s="3" t="s">
        <v>51</v>
      </c>
      <c r="I5" s="3" t="s">
        <v>89</v>
      </c>
      <c r="J5" s="3" t="s">
        <v>90</v>
      </c>
      <c r="K5" s="3" t="s">
        <v>54</v>
      </c>
      <c r="L5" s="3" t="s">
        <v>55</v>
      </c>
      <c r="M5" s="3" t="s">
        <v>56</v>
      </c>
      <c r="N5" s="8" t="s">
        <v>56</v>
      </c>
      <c r="O5" s="3" t="s">
        <v>81</v>
      </c>
      <c r="P5" s="3" t="s">
        <v>57</v>
      </c>
      <c r="Q5" s="8" t="s">
        <v>57</v>
      </c>
      <c r="R5" s="3" t="s">
        <v>91</v>
      </c>
      <c r="S5" s="3" t="s">
        <v>92</v>
      </c>
      <c r="T5" s="10" t="s">
        <v>93</v>
      </c>
      <c r="U5" s="11" t="s">
        <v>94</v>
      </c>
    </row>
    <row r="6">
      <c r="A6" s="3" t="s">
        <v>95</v>
      </c>
      <c r="B6" s="3" t="s">
        <v>75</v>
      </c>
      <c r="C6" s="3" t="s">
        <v>96</v>
      </c>
      <c r="D6" s="3" t="s">
        <v>77</v>
      </c>
      <c r="E6" s="3" t="s">
        <v>97</v>
      </c>
      <c r="F6" s="3" t="s">
        <v>98</v>
      </c>
      <c r="G6" s="3" t="s">
        <v>51</v>
      </c>
      <c r="H6" s="3" t="s">
        <v>67</v>
      </c>
      <c r="I6" s="3" t="s">
        <v>99</v>
      </c>
      <c r="J6" s="3" t="s">
        <v>100</v>
      </c>
      <c r="K6" s="3" t="s">
        <v>54</v>
      </c>
      <c r="L6" s="3" t="s">
        <v>69</v>
      </c>
      <c r="M6" s="3" t="s">
        <v>69</v>
      </c>
      <c r="N6" s="9" t="s">
        <v>69</v>
      </c>
      <c r="O6" s="3" t="s">
        <v>57</v>
      </c>
      <c r="P6" s="3" t="s">
        <v>81</v>
      </c>
      <c r="Q6" s="8" t="s">
        <v>81</v>
      </c>
      <c r="R6" s="3" t="s">
        <v>101</v>
      </c>
      <c r="S6" s="3" t="s">
        <v>102</v>
      </c>
      <c r="T6" s="10" t="s">
        <v>103</v>
      </c>
      <c r="U6" s="11" t="s">
        <v>85</v>
      </c>
    </row>
    <row r="7">
      <c r="A7" s="3" t="s">
        <v>104</v>
      </c>
      <c r="B7" s="3" t="s">
        <v>75</v>
      </c>
      <c r="C7" s="3" t="s">
        <v>105</v>
      </c>
      <c r="D7" s="3" t="s">
        <v>64</v>
      </c>
      <c r="E7" s="3" t="s">
        <v>65</v>
      </c>
      <c r="F7" s="3" t="s">
        <v>106</v>
      </c>
      <c r="G7" s="3" t="s">
        <v>51</v>
      </c>
      <c r="H7" s="3" t="s">
        <v>51</v>
      </c>
      <c r="I7" s="3" t="s">
        <v>107</v>
      </c>
      <c r="J7" s="3" t="s">
        <v>108</v>
      </c>
      <c r="K7" s="3" t="s">
        <v>54</v>
      </c>
      <c r="L7" s="3" t="s">
        <v>69</v>
      </c>
      <c r="M7" s="3" t="s">
        <v>56</v>
      </c>
      <c r="N7" s="8" t="s">
        <v>56</v>
      </c>
      <c r="O7" s="3" t="s">
        <v>57</v>
      </c>
      <c r="P7" s="3" t="s">
        <v>57</v>
      </c>
      <c r="Q7" s="9" t="s">
        <v>57</v>
      </c>
      <c r="R7" s="3" t="s">
        <v>109</v>
      </c>
      <c r="S7" s="3" t="s">
        <v>110</v>
      </c>
      <c r="T7" s="10" t="s">
        <v>111</v>
      </c>
      <c r="U7" s="11" t="s">
        <v>61</v>
      </c>
    </row>
    <row r="8">
      <c r="A8" s="3" t="s">
        <v>112</v>
      </c>
      <c r="B8" s="3" t="s">
        <v>113</v>
      </c>
      <c r="C8" s="3" t="s">
        <v>114</v>
      </c>
      <c r="D8" s="3" t="s">
        <v>77</v>
      </c>
      <c r="E8" s="3" t="s">
        <v>97</v>
      </c>
      <c r="F8" s="3" t="s">
        <v>115</v>
      </c>
      <c r="G8" s="3" t="s">
        <v>51</v>
      </c>
      <c r="H8" s="3" t="s">
        <v>51</v>
      </c>
      <c r="I8" s="3" t="s">
        <v>116</v>
      </c>
      <c r="J8" s="3" t="s">
        <v>117</v>
      </c>
      <c r="K8" s="3" t="s">
        <v>54</v>
      </c>
      <c r="L8" s="3" t="s">
        <v>56</v>
      </c>
      <c r="M8" s="3" t="s">
        <v>56</v>
      </c>
      <c r="N8" s="9" t="s">
        <v>56</v>
      </c>
      <c r="O8" s="3" t="s">
        <v>81</v>
      </c>
      <c r="P8" s="3" t="s">
        <v>57</v>
      </c>
      <c r="Q8" s="8" t="s">
        <v>57</v>
      </c>
      <c r="R8" s="3" t="s">
        <v>118</v>
      </c>
      <c r="S8" s="3" t="s">
        <v>119</v>
      </c>
      <c r="T8" s="10" t="s">
        <v>120</v>
      </c>
      <c r="U8" s="11" t="s">
        <v>85</v>
      </c>
    </row>
    <row r="9">
      <c r="A9" s="3" t="s">
        <v>121</v>
      </c>
      <c r="B9" s="3" t="s">
        <v>75</v>
      </c>
      <c r="C9" s="3" t="s">
        <v>122</v>
      </c>
      <c r="D9" s="3" t="s">
        <v>77</v>
      </c>
      <c r="E9" s="3" t="s">
        <v>78</v>
      </c>
      <c r="F9" s="3" t="s">
        <v>123</v>
      </c>
      <c r="G9" s="3" t="s">
        <v>67</v>
      </c>
      <c r="H9" s="3" t="s">
        <v>67</v>
      </c>
      <c r="I9" s="3" t="s">
        <v>124</v>
      </c>
      <c r="J9" s="3" t="s">
        <v>125</v>
      </c>
      <c r="K9" s="3" t="s">
        <v>54</v>
      </c>
      <c r="L9" s="3" t="s">
        <v>56</v>
      </c>
      <c r="M9" s="3" t="s">
        <v>56</v>
      </c>
      <c r="N9" s="9" t="s">
        <v>56</v>
      </c>
      <c r="O9" s="3" t="s">
        <v>57</v>
      </c>
      <c r="P9" s="3" t="s">
        <v>81</v>
      </c>
      <c r="Q9" s="8" t="s">
        <v>81</v>
      </c>
      <c r="R9" s="3" t="s">
        <v>118</v>
      </c>
      <c r="S9" s="3" t="s">
        <v>126</v>
      </c>
      <c r="T9" s="10" t="s">
        <v>127</v>
      </c>
      <c r="U9" s="11" t="s">
        <v>85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Q2:Q9">
      <formula1>"ES2 — Fully supported,ES1 — Partially supported,ES0 — Not supported"</formula1>
    </dataValidation>
    <dataValidation type="list" allowBlank="1" sqref="N2:N9">
      <formula1>"RC2 — Correct,RC1 — Partially correct,RC0 — Incorrect"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105.0"/>
    <col customWidth="1" min="3" max="26" width="8.63"/>
  </cols>
  <sheetData>
    <row r="1">
      <c r="A1" s="2" t="s">
        <v>19</v>
      </c>
    </row>
    <row r="2">
      <c r="A2" s="5" t="s">
        <v>23</v>
      </c>
      <c r="B2" s="3" t="s">
        <v>30</v>
      </c>
    </row>
    <row r="3">
      <c r="A3" s="5" t="s">
        <v>31</v>
      </c>
      <c r="B3" s="3" t="s">
        <v>32</v>
      </c>
    </row>
    <row r="4">
      <c r="A4" s="5" t="s">
        <v>34</v>
      </c>
      <c r="B4" s="3" t="s">
        <v>37</v>
      </c>
    </row>
    <row r="5">
      <c r="A5" s="5" t="s">
        <v>40</v>
      </c>
      <c r="B5" s="3" t="s">
        <v>42</v>
      </c>
    </row>
    <row r="6">
      <c r="A6" s="5" t="s">
        <v>43</v>
      </c>
      <c r="B6" s="3" t="s">
        <v>45</v>
      </c>
    </row>
    <row r="7">
      <c r="A7" s="3"/>
      <c r="B7" s="3"/>
    </row>
    <row r="8">
      <c r="A8" s="3"/>
      <c r="B8" s="3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B1"/>
  </mergeCells>
  <printOptions/>
  <pageMargins bottom="0.75" footer="0.0" header="0.0" left="0.7" right="0.7" top="0.75"/>
  <pageSetup orientation="landscape"/>
  <drawing r:id="rId1"/>
</worksheet>
</file>